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45" windowHeight="12255"/>
  </bookViews>
  <sheets>
    <sheet name="TL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<sst xmlns="http://schemas.openxmlformats.org/spreadsheetml/2006/main" count="436" uniqueCount="264">
  <si>
    <t>tld</t>
  </si>
  <si>
    <t>RDAP API</t>
  </si>
  <si>
    <t>属性 / 含义 (大致)</t>
  </si>
  <si>
    <t>type</t>
  </si>
  <si>
    <t>usd</t>
  </si>
  <si>
    <t>3char</t>
  </si>
  <si>
    <t>done</t>
  </si>
  <si>
    <t>speed</t>
  </si>
  <si>
    <t>register</t>
  </si>
  <si>
    <t>help</t>
  </si>
  <si>
    <t>4char</t>
  </si>
  <si>
    <t>5char</t>
  </si>
  <si>
    <t>ai</t>
  </si>
  <si>
    <t>https://rdap.identitydigital.services/rdap/domain/</t>
  </si>
  <si>
    <t>英属安圭拉岛 (常用于人工智能/Artificial Intelligence)</t>
  </si>
  <si>
    <t>ccTLD</t>
  </si>
  <si>
    <t>cc</t>
  </si>
  <si>
    <t>https://tld-rdap.verisign.com/cc/v1/domain/</t>
  </si>
  <si>
    <t>科科斯群岛 (常用于通用网站)</t>
  </si>
  <si>
    <t>cm</t>
  </si>
  <si>
    <t>https://rdap.nic.cm/domain/</t>
  </si>
  <si>
    <t>喀麦隆</t>
  </si>
  <si>
    <t>uk</t>
  </si>
  <si>
    <t>https://rdap.nominet.uk/uk/domain</t>
  </si>
  <si>
    <t>英国 (United Kingdom)</t>
  </si>
  <si>
    <t>us</t>
  </si>
  <si>
    <t>https://rdap.nic.us/domain/</t>
  </si>
  <si>
    <t>美国 (United States)</t>
  </si>
  <si>
    <t>ca</t>
  </si>
  <si>
    <t>https://rdap.ca.fury.ca/rdap/domain/</t>
  </si>
  <si>
    <t>加拿大</t>
  </si>
  <si>
    <t>cx</t>
  </si>
  <si>
    <t>https://rdap.nic.cx/domain/</t>
  </si>
  <si>
    <t>圣诞岛</t>
  </si>
  <si>
    <t>fm</t>
  </si>
  <si>
    <t>https://rdap.centralnic.com/fm/domain/</t>
  </si>
  <si>
    <t>密克罗尼西亚联邦 (常用于广播/Frequency Modulation)</t>
  </si>
  <si>
    <t>fr</t>
  </si>
  <si>
    <t>https://rdap.nic.fr/domain/</t>
  </si>
  <si>
    <t>法国 (France)</t>
  </si>
  <si>
    <t>in</t>
  </si>
  <si>
    <t>https://rdap.nixiregistry.in/rdap/domain/</t>
  </si>
  <si>
    <t>印度 (India)</t>
  </si>
  <si>
    <t>io</t>
  </si>
  <si>
    <t>英属印度洋领地 (常用于科技/输入输出 I/O)</t>
  </si>
  <si>
    <t>nl</t>
  </si>
  <si>
    <t>https://rdap.sidn.nl/domain/</t>
  </si>
  <si>
    <t>荷兰 (Netherlands)</t>
  </si>
  <si>
    <t>to</t>
  </si>
  <si>
    <t>https://rdap.tonicregistry.to/rdap/domain/</t>
  </si>
  <si>
    <t>汤加 (常用于工具/Tool)</t>
  </si>
  <si>
    <t>tv</t>
  </si>
  <si>
    <t>https://rdap.nic.tv/domain/</t>
  </si>
  <si>
    <t>图瓦卢 (常用于电视/Television)</t>
  </si>
  <si>
    <t>tw</t>
  </si>
  <si>
    <t>https://ccrdap.twnic.tw/tw/domain/</t>
  </si>
  <si>
    <t>台湾 (Taiwan)</t>
  </si>
  <si>
    <t>app</t>
  </si>
  <si>
    <t>https://pubapi.registry.google/rdap/domain/</t>
  </si>
  <si>
    <t>应用程序 (Application)</t>
  </si>
  <si>
    <t>gTLD</t>
  </si>
  <si>
    <t>bet</t>
  </si>
  <si>
    <t>投注/赌博 (Betting)</t>
  </si>
  <si>
    <t>bid</t>
  </si>
  <si>
    <t>https://rdap.nic.bid/domain/</t>
  </si>
  <si>
    <t>竞价/出价 (Bid)</t>
  </si>
  <si>
    <t>biz</t>
  </si>
  <si>
    <t>https://rdap.nic.biz/domain/</t>
  </si>
  <si>
    <t>商业 (Business)</t>
  </si>
  <si>
    <t>boo</t>
  </si>
  <si>
    <t>鬼怪 (Boo/口语)</t>
  </si>
  <si>
    <t>cam</t>
  </si>
  <si>
    <t>https://rdap.centralnic.com/cam/domain/</t>
  </si>
  <si>
    <t>摄像头/网络直播 (Cam)</t>
  </si>
  <si>
    <t>com</t>
  </si>
  <si>
    <t>https://rdap.verisign.com/com/v1/domain/</t>
  </si>
  <si>
    <t>商业/通用 (Commercial)</t>
  </si>
  <si>
    <t>dad</t>
  </si>
  <si>
    <t>父亲 (Dad)</t>
  </si>
  <si>
    <t>dev</t>
  </si>
  <si>
    <t>开发者/开发 (Development)</t>
  </si>
  <si>
    <t>day</t>
  </si>
  <si>
    <t>日期/一天 (Day)</t>
  </si>
  <si>
    <t>dog</t>
  </si>
  <si>
    <t>狗 (Dog)</t>
  </si>
  <si>
    <t>esp</t>
  </si>
  <si>
    <t>超感官知觉/西班牙语缩写 (Extra Sensory Perception / Espa?ol)</t>
  </si>
  <si>
    <t>fyi</t>
  </si>
  <si>
    <t>供您参考 (For Your Information)</t>
  </si>
  <si>
    <t>foo</t>
  </si>
  <si>
    <t>占位符 (Placeholder Term, 如编程中的 Foo/Bar)</t>
  </si>
  <si>
    <t>how</t>
  </si>
  <si>
    <t>如何/方法 (How-to)</t>
  </si>
  <si>
    <t>ing</t>
  </si>
  <si>
    <t>进行中/动名词后缀 (-ing)</t>
  </si>
  <si>
    <t>kim</t>
  </si>
  <si>
    <t>人名/姓氏 (Kim)</t>
  </si>
  <si>
    <t>lol</t>
  </si>
  <si>
    <t>https://rdap.centralnic.com/lol/domain</t>
  </si>
  <si>
    <t>大笑 (Laughing Out Loud)</t>
  </si>
  <si>
    <t>ltd</t>
  </si>
  <si>
    <t>有限公司 (Limited)</t>
  </si>
  <si>
    <t>men</t>
  </si>
  <si>
    <t>https://rdap.nic.men/domain/</t>
  </si>
  <si>
    <t>男性/男士 (Men)</t>
  </si>
  <si>
    <t>net</t>
  </si>
  <si>
    <t>https://rdap.verisign.com/net/v1/domain/</t>
  </si>
  <si>
    <t>网络 (Network)</t>
  </si>
  <si>
    <t>new</t>
  </si>
  <si>
    <t>新 (New)</t>
  </si>
  <si>
    <t>mov</t>
  </si>
  <si>
    <t>电影/动作 (Movie / Movement)</t>
  </si>
  <si>
    <t>org</t>
  </si>
  <si>
    <t>https://rdap.publicinterestregistry.org/rdap/domain/</t>
  </si>
  <si>
    <t>非盈利组织 (Organization)</t>
  </si>
  <si>
    <t>pet</t>
  </si>
  <si>
    <t>宠物 (Pet)</t>
  </si>
  <si>
    <t>pro</t>
  </si>
  <si>
    <t>专业人士 (Professional)</t>
  </si>
  <si>
    <t>pub</t>
  </si>
  <si>
    <t>酒吧/公共 (Pub / Public)</t>
  </si>
  <si>
    <t>phd</t>
  </si>
  <si>
    <t>博士学位 (Doctor of Philosophy)</t>
  </si>
  <si>
    <t>red</t>
  </si>
  <si>
    <t>红色 (Red)</t>
  </si>
  <si>
    <t>run</t>
  </si>
  <si>
    <t>运行/跑 (Run)</t>
  </si>
  <si>
    <t>sex</t>
  </si>
  <si>
    <t>https://rdap.nic.sex/domain/</t>
  </si>
  <si>
    <t>成人内容 (Sexually explicit)</t>
  </si>
  <si>
    <t>soy</t>
  </si>
  <si>
    <t>大豆/我是 (Soy/Soybean)</t>
  </si>
  <si>
    <t>tax</t>
  </si>
  <si>
    <t>税务 (Tax)</t>
  </si>
  <si>
    <t>vet</t>
  </si>
  <si>
    <t>兽医 (Veterinarian)</t>
  </si>
  <si>
    <t>vin</t>
  </si>
  <si>
    <t>酒/车辆识别码 (Wine / Vehicle Identification Number)</t>
  </si>
  <si>
    <t>vip</t>
  </si>
  <si>
    <t>https://rdap.nic.vip/domain/</t>
  </si>
  <si>
    <t>贵宾 (Very Important Person)</t>
  </si>
  <si>
    <t>win</t>
  </si>
  <si>
    <t>https://rdap.nic.win/domain/</t>
  </si>
  <si>
    <t>赢 (Win)</t>
  </si>
  <si>
    <t>wtf</t>
  </si>
  <si>
    <t>惊讶/不可思议 (What The F...)</t>
  </si>
  <si>
    <t>xyz</t>
  </si>
  <si>
    <t>https://rdap.centralnic.com/xyz/domain/</t>
  </si>
  <si>
    <t>通用/下一代 (Generic/Next Generation)</t>
  </si>
  <si>
    <t>zip</t>
  </si>
  <si>
    <t>压缩文件格式 (Zip File Format)</t>
  </si>
  <si>
    <t>baby</t>
  </si>
  <si>
    <t>https://rdap.centralnic.com/baby/domain/</t>
  </si>
  <si>
    <t>婴儿 (Baby)</t>
  </si>
  <si>
    <t>band</t>
  </si>
  <si>
    <t>乐队/团体 (Band)</t>
  </si>
  <si>
    <t>beer</t>
  </si>
  <si>
    <t>https://rdap.nic.beer/domain/</t>
  </si>
  <si>
    <t>啤酒 (Beer)</t>
  </si>
  <si>
    <t>bike</t>
  </si>
  <si>
    <t>自行车 (Bike)</t>
  </si>
  <si>
    <t>blue</t>
  </si>
  <si>
    <t>https://rdap.identitydigital.services/rdap/domain</t>
  </si>
  <si>
    <t>蓝色 (Blue)</t>
  </si>
  <si>
    <t>cafe</t>
  </si>
  <si>
    <t>咖啡馆 (Cafe)</t>
  </si>
  <si>
    <t>camp</t>
  </si>
  <si>
    <t>露营 (Camp)</t>
  </si>
  <si>
    <t>cash</t>
  </si>
  <si>
    <t>现金 (Cash)</t>
  </si>
  <si>
    <t>chat</t>
  </si>
  <si>
    <t>聊天 (Chat)</t>
  </si>
  <si>
    <t>care</t>
  </si>
  <si>
    <t>关怀/护理 (Care)</t>
  </si>
  <si>
    <t>city</t>
  </si>
  <si>
    <t>城市 (City)</t>
  </si>
  <si>
    <t>club</t>
  </si>
  <si>
    <t>https://rdap.nic.club/domain/</t>
  </si>
  <si>
    <t>俱乐部 (Club)</t>
  </si>
  <si>
    <t>cool</t>
  </si>
  <si>
    <t>酷 (Cool)</t>
  </si>
  <si>
    <t>date</t>
  </si>
  <si>
    <t>https://rdap.nic.date/domain/</t>
  </si>
  <si>
    <t>约会/日期 (Date)</t>
  </si>
  <si>
    <t>fail</t>
  </si>
  <si>
    <t>失败 (Fail)</t>
  </si>
  <si>
    <t>fish</t>
  </si>
  <si>
    <t>鱼 (Fish)</t>
  </si>
  <si>
    <t>fund</t>
  </si>
  <si>
    <t>基金/资金 (Fund)</t>
  </si>
  <si>
    <t>game</t>
  </si>
  <si>
    <t>https://rdap.centralnic.com/game/domain/</t>
  </si>
  <si>
    <t>游戏 (Game)</t>
  </si>
  <si>
    <t>gmbh</t>
  </si>
  <si>
    <t>德国有限公司 (German Limited Company)</t>
  </si>
  <si>
    <t>gold</t>
  </si>
  <si>
    <t>黄金 (Gold)</t>
  </si>
  <si>
    <t>golf</t>
  </si>
  <si>
    <t>高尔夫 (Golf)</t>
  </si>
  <si>
    <t>haus</t>
  </si>
  <si>
    <t>房屋/家 (House)</t>
  </si>
  <si>
    <t>https://rdap.centralnic.com/help/domain/</t>
  </si>
  <si>
    <t>帮助 (Help)</t>
  </si>
  <si>
    <t>info</t>
  </si>
  <si>
    <t>信息 (Information)</t>
  </si>
  <si>
    <t>limo</t>
  </si>
  <si>
    <t>豪华轿车 (Limousine)</t>
  </si>
  <si>
    <t>immo</t>
  </si>
  <si>
    <t>房地产 (Immobilien/Real Estate)</t>
  </si>
  <si>
    <t>land</t>
  </si>
  <si>
    <t>土地/国家 (Land)</t>
  </si>
  <si>
    <t>life</t>
  </si>
  <si>
    <t>生活 (Life)</t>
  </si>
  <si>
    <t>link</t>
  </si>
  <si>
    <t>https://rdap.tucowsregistry.net/rdap/domain/</t>
  </si>
  <si>
    <t>链接 (Link)</t>
  </si>
  <si>
    <t>live</t>
  </si>
  <si>
    <t>直播/生活 (Live)</t>
  </si>
  <si>
    <t>meme</t>
  </si>
  <si>
    <t>梗/表情包 (Meme)</t>
  </si>
  <si>
    <t>mobi</t>
  </si>
  <si>
    <t>移动设备 (Mobile)</t>
  </si>
  <si>
    <t>moda</t>
  </si>
  <si>
    <t>时尚 (Fashion)</t>
  </si>
  <si>
    <t>news</t>
  </si>
  <si>
    <t>新闻 (News)</t>
  </si>
  <si>
    <t>page</t>
  </si>
  <si>
    <t>网页/页面 (Page)</t>
  </si>
  <si>
    <t>pics</t>
  </si>
  <si>
    <t>https://rdap.centralnic.com/pics/domain/</t>
  </si>
  <si>
    <t>图片 (Pictures)</t>
  </si>
  <si>
    <t>plus</t>
  </si>
  <si>
    <t>加/更多 (Plus)</t>
  </si>
  <si>
    <t>porn</t>
  </si>
  <si>
    <t>https://rdap.nic.porn/domain/</t>
  </si>
  <si>
    <t>色情 (Pornography)</t>
  </si>
  <si>
    <t>prof</t>
  </si>
  <si>
    <t>教授/专业 (Professor / Professional)</t>
  </si>
  <si>
    <t>rsvp</t>
  </si>
  <si>
    <t>请回复 (Répondez s'il vous pla?t)</t>
  </si>
  <si>
    <t>sale</t>
  </si>
  <si>
    <t>销售/折扣 (Sale)</t>
  </si>
  <si>
    <t>show</t>
  </si>
  <si>
    <t>节目/展示 (Show)</t>
  </si>
  <si>
    <t>taxi</t>
  </si>
  <si>
    <t>出租车 (Taxi)</t>
  </si>
  <si>
    <t>team</t>
  </si>
  <si>
    <t>团队 (Team)</t>
  </si>
  <si>
    <t>tech</t>
  </si>
  <si>
    <t>https://rdap.centralnic.com/tech/domain/</t>
  </si>
  <si>
    <t>技术 (Technology)</t>
  </si>
  <si>
    <t>tips</t>
  </si>
  <si>
    <t>提示/小费 (Tips)</t>
  </si>
  <si>
    <t>wiki</t>
  </si>
  <si>
    <t>https://rdap.nic.wiki/domain/</t>
  </si>
  <si>
    <t>维基 (Wiki)</t>
  </si>
  <si>
    <t>work</t>
  </si>
  <si>
    <t>https://rdap.nic.work/domain/</t>
  </si>
  <si>
    <t>工作 (Work)</t>
  </si>
  <si>
    <t>yoga</t>
  </si>
  <si>
    <t>https://rdap.nic.yoga/domain/</t>
  </si>
  <si>
    <t>瑜伽 (Yoga)</t>
  </si>
  <si>
    <t>zone</t>
  </si>
  <si>
    <t>区域 (Zone)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</si>
</sst>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>
      <alignment vertical="center"/>
    </xf>
    <xf numFmtId="9" fontId="0" fillId="0" borderId="0" xfId="3">
      <alignment vertical="center"/>
    </xf>
    <xf numFmtId="9" fontId="0" fillId="0" borderId="0" xfId="0" applyNumberForma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8"/>
  <sheetViews>
    <sheetView tabSelected="1" zoomScaleSheetLayoutView="60" workbookViewId="0">
      <selection activeCell="K41" sqref="K41"/>
    </sheetView>
  </sheetViews>
  <sheetFormatPr defaultColWidth="9" defaultRowHeight="13.5"/>
  <cols>
    <col min="1" max="1" width="9" style="1"/>
    <col min="2" max="2" width="5.375" customWidth="1"/>
    <col min="3" max="3" width="5.5" customWidth="1"/>
    <col min="12" max="12" width="6.75" style="2" customWidth="1"/>
  </cols>
  <sheetData>
    <row r="1" spans="1:1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2" t="s">
        <v>6</v>
      </c>
      <c r="M1" t="s">
        <v>9</v>
      </c>
      <c r="N1" t="s">
        <v>11</v>
      </c>
      <c r="O1" t="s">
        <v>6</v>
      </c>
      <c r="P1" t="s">
        <v>9</v>
      </c>
    </row>
    <row r="2" spans="1:16">
      <c r="F2">
        <v>47988</v>
      </c>
      <c r="K2">
        <v>1679616</v>
      </c>
      <c r="N2">
        <v>60466176</v>
      </c>
    </row>
    <row r="3" spans="1:16">
      <c r="A3" s="1" t="s">
        <v>12</v>
      </c>
      <c r="B3" t="s">
        <v>13</v>
      </c>
      <c r="C3" t="s">
        <v>14</v>
      </c>
      <c r="D3" t="s">
        <v>15</v>
      </c>
      <c r="E3">
        <v>70</v>
      </c>
      <c r="F3">
        <v>47988</v>
      </c>
      <c r="G3" s="3">
        <f>F3/F$2</f>
        <v>1</v>
      </c>
      <c r="H3">
        <v>1</v>
      </c>
      <c r="I3">
        <v>25266</v>
      </c>
      <c r="K3">
        <v>170735</v>
      </c>
      <c r="L3" s="2">
        <f>K3/K$2</f>
        <v>0.101651210752934</v>
      </c>
    </row>
    <row r="4" spans="1:16">
      <c r="A4" s="1" t="s">
        <v>16</v>
      </c>
      <c r="B4" t="s">
        <v>17</v>
      </c>
      <c r="C4" t="s">
        <v>18</v>
      </c>
      <c r="D4" t="s">
        <v>15</v>
      </c>
      <c r="E4">
        <v>8</v>
      </c>
      <c r="F4">
        <v>47988</v>
      </c>
      <c r="G4" s="3">
        <f t="shared" ref="G4:G35" si="0">F4/F$2</f>
        <v>1</v>
      </c>
      <c r="H4">
        <v>1</v>
      </c>
      <c r="I4">
        <v>435</v>
      </c>
      <c r="K4">
        <f>84270-F2</f>
        <v>36282</v>
      </c>
      <c r="L4" s="2">
        <f>K4/K$2</f>
        <v>0.0216013660265203</v>
      </c>
    </row>
    <row r="5" spans="1:16">
      <c r="A5" s="1" t="s">
        <v>19</v>
      </c>
      <c r="B5" t="s">
        <v>20</v>
      </c>
      <c r="C5" t="s">
        <v>21</v>
      </c>
      <c r="D5" t="s">
        <v>15</v>
      </c>
      <c r="F5">
        <v>47988</v>
      </c>
      <c r="G5" s="3">
        <f t="shared" si="0"/>
        <v>1</v>
      </c>
      <c r="H5">
        <v>1</v>
      </c>
      <c r="L5" s="2">
        <f>K5/K$2</f>
        <v>0</v>
      </c>
    </row>
    <row r="6" spans="1:16">
      <c r="A6" s="1" t="s">
        <v>22</v>
      </c>
      <c r="B6" t="s">
        <v>23</v>
      </c>
      <c r="C6" t="s">
        <v>24</v>
      </c>
      <c r="D6" t="s">
        <v>15</v>
      </c>
      <c r="E6">
        <v>5.21</v>
      </c>
      <c r="F6">
        <v>47988</v>
      </c>
      <c r="G6" s="3">
        <f t="shared" si="0"/>
        <v>1</v>
      </c>
      <c r="H6">
        <v>1</v>
      </c>
      <c r="J6">
        <v>429</v>
      </c>
      <c r="K6">
        <v>57606</v>
      </c>
      <c r="L6" s="2">
        <f>K6/K$2</f>
        <v>0.0342971250571559</v>
      </c>
    </row>
    <row r="7" spans="1:16">
      <c r="A7" s="1" t="s">
        <v>25</v>
      </c>
      <c r="B7" t="s">
        <v>26</v>
      </c>
      <c r="C7" t="s">
        <v>27</v>
      </c>
      <c r="D7" t="s">
        <v>15</v>
      </c>
      <c r="E7">
        <v>6.5</v>
      </c>
      <c r="F7">
        <v>16651</v>
      </c>
      <c r="G7" s="3">
        <f t="shared" si="0"/>
        <v>0.346982578978078</v>
      </c>
    </row>
    <row r="8" spans="1:16">
      <c r="A8" s="1" t="s">
        <v>28</v>
      </c>
      <c r="B8" t="s">
        <v>29</v>
      </c>
      <c r="C8" t="s">
        <v>30</v>
      </c>
      <c r="D8" t="s">
        <v>15</v>
      </c>
      <c r="E8">
        <v>9.17</v>
      </c>
      <c r="F8">
        <v>47988</v>
      </c>
      <c r="G8" s="3">
        <f t="shared" si="0"/>
        <v>1</v>
      </c>
      <c r="H8">
        <v>1</v>
      </c>
      <c r="K8">
        <v>68661</v>
      </c>
    </row>
    <row r="9" spans="1:16">
      <c r="A9" s="1" t="s">
        <v>31</v>
      </c>
      <c r="B9" t="s">
        <v>32</v>
      </c>
      <c r="C9" t="s">
        <v>33</v>
      </c>
      <c r="D9" t="s">
        <v>15</v>
      </c>
      <c r="F9">
        <v>47988</v>
      </c>
      <c r="G9" s="3">
        <f t="shared" si="0"/>
        <v>1</v>
      </c>
      <c r="H9">
        <v>1</v>
      </c>
    </row>
    <row r="10" spans="1:16">
      <c r="A10" s="1" t="s">
        <v>34</v>
      </c>
      <c r="B10" t="s">
        <v>35</v>
      </c>
      <c r="C10" t="s">
        <v>36</v>
      </c>
      <c r="D10" t="s">
        <v>15</v>
      </c>
      <c r="E10">
        <v>85</v>
      </c>
      <c r="F10">
        <v>47988</v>
      </c>
      <c r="G10" s="3">
        <f t="shared" si="0"/>
        <v>1</v>
      </c>
      <c r="H10">
        <v>1</v>
      </c>
    </row>
    <row r="11" spans="1:16">
      <c r="A11" s="1" t="s">
        <v>37</v>
      </c>
      <c r="B11" t="s">
        <v>38</v>
      </c>
      <c r="C11" t="s">
        <v>39</v>
      </c>
      <c r="D11" t="s">
        <v>15</v>
      </c>
      <c r="F11">
        <v>47988</v>
      </c>
      <c r="G11" s="3">
        <f t="shared" si="0"/>
        <v>1</v>
      </c>
      <c r="H11">
        <v>1</v>
      </c>
    </row>
    <row r="12" spans="1:16">
      <c r="A12" s="1" t="s">
        <v>40</v>
      </c>
      <c r="B12" t="s">
        <v>41</v>
      </c>
      <c r="C12" t="s">
        <v>42</v>
      </c>
      <c r="D12" t="s">
        <v>15</v>
      </c>
      <c r="F12">
        <v>47988</v>
      </c>
      <c r="G12" s="3">
        <f t="shared" si="0"/>
        <v>1</v>
      </c>
      <c r="H12">
        <v>1</v>
      </c>
    </row>
    <row r="13" spans="1:16">
      <c r="A13" s="1" t="s">
        <v>43</v>
      </c>
      <c r="B13" t="s">
        <v>13</v>
      </c>
      <c r="C13" t="s">
        <v>44</v>
      </c>
      <c r="D13" t="s">
        <v>15</v>
      </c>
      <c r="E13">
        <v>45</v>
      </c>
      <c r="F13">
        <v>47988</v>
      </c>
      <c r="G13" s="3">
        <f t="shared" si="0"/>
        <v>1</v>
      </c>
      <c r="H13">
        <v>1</v>
      </c>
    </row>
    <row r="14" spans="1:16">
      <c r="A14" s="1" t="s">
        <v>45</v>
      </c>
      <c r="B14" t="s">
        <v>46</v>
      </c>
      <c r="C14" t="s">
        <v>47</v>
      </c>
      <c r="D14" t="s">
        <v>15</v>
      </c>
      <c r="F14">
        <v>47988</v>
      </c>
      <c r="G14" s="3">
        <f t="shared" si="0"/>
        <v>1</v>
      </c>
      <c r="H14">
        <v>5</v>
      </c>
    </row>
    <row r="15" spans="1:16">
      <c r="A15" s="1" t="s">
        <v>48</v>
      </c>
      <c r="B15" t="s">
        <v>49</v>
      </c>
      <c r="C15" t="s">
        <v>50</v>
      </c>
      <c r="D15" t="s">
        <v>15</v>
      </c>
      <c r="F15">
        <v>47988</v>
      </c>
      <c r="G15" s="3">
        <f t="shared" si="0"/>
        <v>1</v>
      </c>
      <c r="H15">
        <v>1</v>
      </c>
    </row>
    <row r="16" spans="1:16">
      <c r="A16" s="1" t="s">
        <v>51</v>
      </c>
      <c r="B16" t="s">
        <v>52</v>
      </c>
      <c r="C16" t="s">
        <v>53</v>
      </c>
      <c r="D16" t="s">
        <v>15</v>
      </c>
      <c r="E16">
        <v>25</v>
      </c>
      <c r="F16">
        <v>8140</v>
      </c>
      <c r="G16" s="3">
        <f t="shared" si="0"/>
        <v>0.169625739768275</v>
      </c>
    </row>
    <row r="17" spans="1:11">
      <c r="A17" s="1" t="s">
        <v>54</v>
      </c>
      <c r="B17" t="s">
        <v>55</v>
      </c>
      <c r="C17" t="s">
        <v>56</v>
      </c>
      <c r="D17" t="s">
        <v>15</v>
      </c>
      <c r="F17">
        <v>24725</v>
      </c>
      <c r="G17" s="3">
        <f t="shared" si="0"/>
        <v>0.515232974910394</v>
      </c>
    </row>
    <row r="18" spans="1:11">
      <c r="A18" s="1" t="s">
        <v>57</v>
      </c>
      <c r="B18" t="s">
        <v>58</v>
      </c>
      <c r="C18" t="s">
        <v>59</v>
      </c>
      <c r="D18" t="s">
        <v>60</v>
      </c>
      <c r="E18">
        <v>14.2</v>
      </c>
      <c r="F18">
        <v>3491</v>
      </c>
      <c r="G18" s="3">
        <f t="shared" si="0"/>
        <v>0.0727473535050429</v>
      </c>
    </row>
    <row r="19" spans="1:11">
      <c r="A19" s="1" t="s">
        <v>61</v>
      </c>
      <c r="B19" t="s">
        <v>13</v>
      </c>
      <c r="C19" t="s">
        <v>62</v>
      </c>
      <c r="D19" t="s">
        <v>60</v>
      </c>
      <c r="F19">
        <v>47988</v>
      </c>
      <c r="G19" s="3">
        <f t="shared" si="0"/>
        <v>1</v>
      </c>
      <c r="H19">
        <v>2</v>
      </c>
    </row>
    <row r="20" spans="1:11">
      <c r="A20" s="1" t="s">
        <v>63</v>
      </c>
      <c r="B20" t="s">
        <v>64</v>
      </c>
      <c r="C20" t="s">
        <v>65</v>
      </c>
      <c r="D20" t="s">
        <v>60</v>
      </c>
      <c r="F20">
        <v>5775</v>
      </c>
      <c r="G20" s="3">
        <f t="shared" si="0"/>
        <v>0.120342585646412</v>
      </c>
    </row>
    <row r="21" spans="1:11">
      <c r="A21" s="1" t="s">
        <v>66</v>
      </c>
      <c r="B21" t="s">
        <v>67</v>
      </c>
      <c r="C21" t="s">
        <v>68</v>
      </c>
      <c r="D21" t="s">
        <v>60</v>
      </c>
      <c r="F21">
        <v>10616</v>
      </c>
      <c r="G21" s="3">
        <f t="shared" si="0"/>
        <v>0.221221972159707</v>
      </c>
    </row>
    <row r="22" spans="1:11">
      <c r="A22" s="1" t="s">
        <v>69</v>
      </c>
      <c r="B22" t="s">
        <v>58</v>
      </c>
      <c r="C22" t="s">
        <v>70</v>
      </c>
      <c r="D22" t="s">
        <v>60</v>
      </c>
      <c r="F22">
        <v>7935</v>
      </c>
      <c r="G22" s="3">
        <f t="shared" si="0"/>
        <v>0.165353838459615</v>
      </c>
    </row>
    <row r="23" spans="1:11">
      <c r="A23" s="1" t="s">
        <v>71</v>
      </c>
      <c r="B23" t="s">
        <v>72</v>
      </c>
      <c r="C23" t="s">
        <v>73</v>
      </c>
      <c r="D23" t="s">
        <v>60</v>
      </c>
      <c r="E23">
        <v>14.2</v>
      </c>
      <c r="F23">
        <v>47988</v>
      </c>
      <c r="G23" s="3">
        <f t="shared" si="0"/>
        <v>1</v>
      </c>
      <c r="H23">
        <v>1</v>
      </c>
    </row>
    <row r="24" spans="1:11">
      <c r="A24" s="1" t="s">
        <v>74</v>
      </c>
      <c r="B24" t="s">
        <v>75</v>
      </c>
      <c r="C24" t="s">
        <v>76</v>
      </c>
      <c r="D24" t="s">
        <v>60</v>
      </c>
      <c r="E24">
        <v>10.46</v>
      </c>
      <c r="F24">
        <v>47988</v>
      </c>
      <c r="G24" s="3">
        <f t="shared" si="0"/>
        <v>1</v>
      </c>
      <c r="H24">
        <v>1</v>
      </c>
      <c r="K24">
        <v>286</v>
      </c>
    </row>
    <row r="25" spans="1:11">
      <c r="A25" s="1" t="s">
        <v>77</v>
      </c>
      <c r="B25" t="s">
        <v>58</v>
      </c>
      <c r="C25" t="s">
        <v>78</v>
      </c>
      <c r="D25" t="s">
        <v>60</v>
      </c>
      <c r="F25">
        <v>3912</v>
      </c>
      <c r="G25" s="3">
        <f t="shared" si="0"/>
        <v>0.0815203800950238</v>
      </c>
    </row>
    <row r="26" spans="1:11">
      <c r="A26" s="1" t="s">
        <v>79</v>
      </c>
      <c r="B26" t="s">
        <v>58</v>
      </c>
      <c r="C26" t="s">
        <v>80</v>
      </c>
      <c r="D26" t="s">
        <v>60</v>
      </c>
      <c r="F26">
        <v>5197</v>
      </c>
      <c r="G26" s="3">
        <f t="shared" si="0"/>
        <v>0.108297907810286</v>
      </c>
      <c r="I26">
        <f>36+36*36</f>
        <v>1332</v>
      </c>
    </row>
    <row r="27" spans="1:11">
      <c r="A27" s="1" t="s">
        <v>81</v>
      </c>
      <c r="B27" t="s">
        <v>58</v>
      </c>
      <c r="C27" t="s">
        <v>82</v>
      </c>
      <c r="D27" t="s">
        <v>60</v>
      </c>
      <c r="F27">
        <v>7070</v>
      </c>
      <c r="G27" s="3">
        <f t="shared" si="0"/>
        <v>0.147328498791365</v>
      </c>
    </row>
    <row r="28" spans="1:11">
      <c r="A28" s="1" t="s">
        <v>83</v>
      </c>
      <c r="B28" t="s">
        <v>13</v>
      </c>
      <c r="C28" t="s">
        <v>84</v>
      </c>
      <c r="D28" t="s">
        <v>60</v>
      </c>
      <c r="F28">
        <v>47988</v>
      </c>
      <c r="G28" s="3">
        <f t="shared" si="0"/>
        <v>1</v>
      </c>
      <c r="H28">
        <v>2</v>
      </c>
    </row>
    <row r="29" spans="1:11">
      <c r="A29" s="1" t="s">
        <v>85</v>
      </c>
      <c r="B29" t="s">
        <v>58</v>
      </c>
      <c r="C29" t="s">
        <v>86</v>
      </c>
      <c r="D29" t="s">
        <v>60</v>
      </c>
      <c r="F29">
        <v>6594</v>
      </c>
      <c r="G29" s="3">
        <f t="shared" si="0"/>
        <v>0.137409352338085</v>
      </c>
    </row>
    <row r="30" spans="1:11">
      <c r="A30" s="1" t="s">
        <v>87</v>
      </c>
      <c r="B30" t="s">
        <v>13</v>
      </c>
      <c r="C30" t="s">
        <v>88</v>
      </c>
      <c r="D30" t="s">
        <v>60</v>
      </c>
      <c r="F30">
        <v>47988</v>
      </c>
      <c r="G30" s="3">
        <f t="shared" si="0"/>
        <v>1</v>
      </c>
      <c r="H30">
        <v>2</v>
      </c>
    </row>
    <row r="31" spans="1:11">
      <c r="A31" s="1" t="s">
        <v>89</v>
      </c>
      <c r="B31" t="s">
        <v>58</v>
      </c>
      <c r="C31" t="s">
        <v>90</v>
      </c>
      <c r="D31" t="s">
        <v>60</v>
      </c>
      <c r="F31">
        <v>2816</v>
      </c>
      <c r="G31" s="3">
        <f t="shared" si="0"/>
        <v>0.0586813370009169</v>
      </c>
    </row>
    <row r="32" spans="1:11">
      <c r="A32" s="1" t="s">
        <v>91</v>
      </c>
      <c r="B32" t="s">
        <v>58</v>
      </c>
      <c r="C32" t="s">
        <v>92</v>
      </c>
      <c r="D32" t="s">
        <v>60</v>
      </c>
      <c r="F32">
        <v>5034</v>
      </c>
      <c r="G32" s="3">
        <f t="shared" si="0"/>
        <v>0.104901225306327</v>
      </c>
    </row>
    <row r="33" spans="1:11">
      <c r="A33" s="1" t="s">
        <v>93</v>
      </c>
      <c r="B33" t="s">
        <v>58</v>
      </c>
      <c r="C33" t="s">
        <v>94</v>
      </c>
      <c r="D33" t="s">
        <v>60</v>
      </c>
      <c r="F33">
        <v>47988</v>
      </c>
      <c r="G33" s="3">
        <f t="shared" si="0"/>
        <v>1</v>
      </c>
      <c r="H33">
        <v>4</v>
      </c>
    </row>
    <row r="34" spans="1:11">
      <c r="A34" s="1" t="s">
        <v>95</v>
      </c>
      <c r="B34" t="s">
        <v>13</v>
      </c>
      <c r="C34" t="s">
        <v>96</v>
      </c>
      <c r="D34" t="s">
        <v>60</v>
      </c>
      <c r="E34">
        <v>18.2</v>
      </c>
      <c r="F34">
        <v>47988</v>
      </c>
      <c r="G34" s="3">
        <f t="shared" si="0"/>
        <v>1</v>
      </c>
      <c r="H34">
        <v>1</v>
      </c>
    </row>
    <row r="35" spans="1:11">
      <c r="A35" s="1" t="s">
        <v>97</v>
      </c>
      <c r="B35" t="s">
        <v>98</v>
      </c>
      <c r="C35" t="s">
        <v>99</v>
      </c>
      <c r="D35" t="s">
        <v>60</v>
      </c>
      <c r="F35">
        <v>47988</v>
      </c>
      <c r="G35" s="3">
        <f t="shared" si="0"/>
        <v>1</v>
      </c>
      <c r="H35">
        <v>2</v>
      </c>
    </row>
    <row r="36" spans="1:11">
      <c r="A36" s="1" t="s">
        <v>100</v>
      </c>
      <c r="B36" t="s">
        <v>13</v>
      </c>
      <c r="C36" t="s">
        <v>101</v>
      </c>
      <c r="D36" t="s">
        <v>60</v>
      </c>
      <c r="E36">
        <v>24.2</v>
      </c>
      <c r="F36">
        <v>47988</v>
      </c>
      <c r="G36" s="3">
        <f t="shared" ref="G36:G67" si="1">F36/F$2</f>
        <v>1</v>
      </c>
      <c r="H36">
        <v>1</v>
      </c>
    </row>
    <row r="37" spans="1:11">
      <c r="A37" s="4" t="s">
        <v>102</v>
      </c>
      <c r="B37" t="s">
        <v>103</v>
      </c>
      <c r="C37" t="s">
        <v>104</v>
      </c>
      <c r="D37" t="s">
        <v>60</v>
      </c>
      <c r="F37">
        <v>47988</v>
      </c>
      <c r="G37" s="3">
        <f t="shared" si="1"/>
        <v>1</v>
      </c>
      <c r="H37">
        <v>3</v>
      </c>
    </row>
    <row r="38" spans="1:11">
      <c r="A38" s="1" t="s">
        <v>105</v>
      </c>
      <c r="B38" t="s">
        <v>106</v>
      </c>
      <c r="C38" t="s">
        <v>107</v>
      </c>
      <c r="D38" t="s">
        <v>60</v>
      </c>
      <c r="F38">
        <v>905</v>
      </c>
      <c r="G38" s="3">
        <f t="shared" si="1"/>
        <v>0.0188588813870134</v>
      </c>
    </row>
    <row r="39" spans="1:11">
      <c r="A39" s="1" t="s">
        <v>108</v>
      </c>
      <c r="B39" t="s">
        <v>58</v>
      </c>
      <c r="C39" t="s">
        <v>109</v>
      </c>
      <c r="D39" t="s">
        <v>60</v>
      </c>
      <c r="F39">
        <v>1150</v>
      </c>
      <c r="G39" s="3">
        <f t="shared" si="1"/>
        <v>0.0239643244144369</v>
      </c>
    </row>
    <row r="40" spans="1:11">
      <c r="A40" s="1" t="s">
        <v>110</v>
      </c>
      <c r="B40" t="s">
        <v>58</v>
      </c>
      <c r="C40" t="s">
        <v>111</v>
      </c>
      <c r="D40" t="s">
        <v>60</v>
      </c>
      <c r="F40">
        <v>47988</v>
      </c>
      <c r="G40" s="3">
        <f t="shared" si="1"/>
        <v>1</v>
      </c>
      <c r="H40">
        <v>6</v>
      </c>
    </row>
    <row r="41" spans="1:11">
      <c r="A41" s="1" t="s">
        <v>112</v>
      </c>
      <c r="B41" t="s">
        <v>113</v>
      </c>
      <c r="C41" t="s">
        <v>114</v>
      </c>
      <c r="D41" t="s">
        <v>60</v>
      </c>
      <c r="E41">
        <v>7.5</v>
      </c>
      <c r="F41">
        <v>47988</v>
      </c>
      <c r="G41" s="3">
        <f t="shared" si="1"/>
        <v>1</v>
      </c>
      <c r="H41">
        <v>1</v>
      </c>
      <c r="K41">
        <v>41445</v>
      </c>
    </row>
    <row r="42" spans="1:11">
      <c r="A42" s="1" t="s">
        <v>115</v>
      </c>
      <c r="B42" t="s">
        <v>13</v>
      </c>
      <c r="C42" t="s">
        <v>116</v>
      </c>
      <c r="D42" t="s">
        <v>60</v>
      </c>
      <c r="E42">
        <v>20.2</v>
      </c>
      <c r="F42">
        <v>47988</v>
      </c>
      <c r="G42" s="3">
        <f t="shared" si="1"/>
        <v>1</v>
      </c>
      <c r="H42">
        <v>1</v>
      </c>
    </row>
    <row r="43" spans="1:11">
      <c r="A43" s="1" t="s">
        <v>117</v>
      </c>
      <c r="B43" t="s">
        <v>13</v>
      </c>
      <c r="C43" t="s">
        <v>118</v>
      </c>
      <c r="D43" t="s">
        <v>60</v>
      </c>
      <c r="E43">
        <v>19.2</v>
      </c>
      <c r="F43">
        <v>47988</v>
      </c>
      <c r="G43" s="3">
        <f t="shared" si="1"/>
        <v>1</v>
      </c>
      <c r="H43">
        <v>1</v>
      </c>
    </row>
    <row r="44" spans="1:11">
      <c r="A44" s="1" t="s">
        <v>119</v>
      </c>
      <c r="B44" t="s">
        <v>13</v>
      </c>
      <c r="C44" t="s">
        <v>120</v>
      </c>
      <c r="D44" t="s">
        <v>60</v>
      </c>
      <c r="F44">
        <v>47988</v>
      </c>
      <c r="G44" s="3">
        <f t="shared" si="1"/>
        <v>1</v>
      </c>
      <c r="H44">
        <v>2</v>
      </c>
    </row>
    <row r="45" spans="1:11">
      <c r="A45" s="1" t="s">
        <v>121</v>
      </c>
      <c r="B45" t="s">
        <v>58</v>
      </c>
      <c r="C45" t="s">
        <v>122</v>
      </c>
      <c r="D45" t="s">
        <v>60</v>
      </c>
      <c r="F45">
        <v>47988</v>
      </c>
      <c r="G45" s="3">
        <f t="shared" si="1"/>
        <v>1</v>
      </c>
      <c r="H45">
        <v>6</v>
      </c>
    </row>
    <row r="46" spans="1:11">
      <c r="A46" s="1" t="s">
        <v>123</v>
      </c>
      <c r="B46" t="s">
        <v>13</v>
      </c>
      <c r="C46" t="s">
        <v>124</v>
      </c>
      <c r="D46" t="s">
        <v>60</v>
      </c>
      <c r="E46">
        <v>18.2</v>
      </c>
      <c r="F46">
        <v>47988</v>
      </c>
      <c r="G46" s="3">
        <f t="shared" si="1"/>
        <v>1</v>
      </c>
      <c r="H46">
        <v>1</v>
      </c>
    </row>
    <row r="47" spans="1:11">
      <c r="A47" s="1" t="s">
        <v>125</v>
      </c>
      <c r="B47" t="s">
        <v>13</v>
      </c>
      <c r="C47" t="s">
        <v>126</v>
      </c>
      <c r="D47" t="s">
        <v>60</v>
      </c>
      <c r="E47">
        <v>21.2</v>
      </c>
      <c r="F47">
        <v>47988</v>
      </c>
      <c r="G47" s="3">
        <f t="shared" si="1"/>
        <v>1</v>
      </c>
      <c r="H47">
        <v>1</v>
      </c>
    </row>
    <row r="48" spans="1:11">
      <c r="A48" s="4" t="s">
        <v>127</v>
      </c>
      <c r="B48" t="s">
        <v>128</v>
      </c>
      <c r="C48" t="s">
        <v>129</v>
      </c>
      <c r="D48" t="s">
        <v>60</v>
      </c>
      <c r="F48">
        <v>47988</v>
      </c>
      <c r="G48" s="3">
        <f t="shared" si="1"/>
        <v>1</v>
      </c>
      <c r="H48">
        <v>3</v>
      </c>
    </row>
    <row r="49" spans="1:8">
      <c r="A49" s="1" t="s">
        <v>130</v>
      </c>
      <c r="B49" t="s">
        <v>58</v>
      </c>
      <c r="C49" t="s">
        <v>131</v>
      </c>
      <c r="D49" t="s">
        <v>60</v>
      </c>
      <c r="F49">
        <v>47988</v>
      </c>
      <c r="G49" s="3">
        <f t="shared" si="1"/>
        <v>1</v>
      </c>
      <c r="H49">
        <v>2</v>
      </c>
    </row>
    <row r="50" spans="1:8">
      <c r="A50" s="1" t="s">
        <v>132</v>
      </c>
      <c r="B50" t="s">
        <v>13</v>
      </c>
      <c r="C50" t="s">
        <v>133</v>
      </c>
      <c r="D50" t="s">
        <v>60</v>
      </c>
      <c r="E50">
        <v>52.2</v>
      </c>
      <c r="F50">
        <v>47988</v>
      </c>
      <c r="G50" s="3">
        <f t="shared" si="1"/>
        <v>1</v>
      </c>
      <c r="H50">
        <v>1</v>
      </c>
    </row>
    <row r="51" spans="1:8">
      <c r="A51" s="1" t="s">
        <v>134</v>
      </c>
      <c r="B51" t="s">
        <v>13</v>
      </c>
      <c r="C51" t="s">
        <v>135</v>
      </c>
      <c r="D51" t="s">
        <v>60</v>
      </c>
      <c r="E51">
        <v>32.2</v>
      </c>
      <c r="F51">
        <v>47988</v>
      </c>
      <c r="G51" s="3">
        <f t="shared" si="1"/>
        <v>1</v>
      </c>
      <c r="H51">
        <v>1</v>
      </c>
    </row>
    <row r="52" spans="1:8">
      <c r="A52" s="1" t="s">
        <v>136</v>
      </c>
      <c r="B52" t="s">
        <v>13</v>
      </c>
      <c r="C52" t="s">
        <v>137</v>
      </c>
      <c r="D52" t="s">
        <v>60</v>
      </c>
      <c r="E52">
        <v>46.2</v>
      </c>
      <c r="F52">
        <v>47988</v>
      </c>
      <c r="G52" s="3">
        <f t="shared" si="1"/>
        <v>1</v>
      </c>
      <c r="H52">
        <v>1</v>
      </c>
    </row>
    <row r="53" spans="1:8">
      <c r="A53" s="1" t="s">
        <v>138</v>
      </c>
      <c r="B53" t="s">
        <v>139</v>
      </c>
      <c r="C53" t="s">
        <v>140</v>
      </c>
      <c r="D53" t="s">
        <v>60</v>
      </c>
      <c r="E53">
        <v>12.2</v>
      </c>
      <c r="F53">
        <v>47988</v>
      </c>
      <c r="G53" s="3">
        <f t="shared" si="1"/>
        <v>1</v>
      </c>
      <c r="H53">
        <v>2</v>
      </c>
    </row>
    <row r="54" spans="1:8">
      <c r="A54" s="1" t="s">
        <v>141</v>
      </c>
      <c r="B54" t="s">
        <v>142</v>
      </c>
      <c r="C54" t="s">
        <v>143</v>
      </c>
      <c r="D54" t="s">
        <v>60</v>
      </c>
      <c r="F54">
        <v>1120</v>
      </c>
      <c r="G54" s="3">
        <f t="shared" si="1"/>
        <v>0.0233391681253647</v>
      </c>
    </row>
    <row r="55" spans="1:8">
      <c r="A55" s="1" t="s">
        <v>144</v>
      </c>
      <c r="B55" t="s">
        <v>13</v>
      </c>
      <c r="C55" t="s">
        <v>145</v>
      </c>
      <c r="D55" t="s">
        <v>60</v>
      </c>
      <c r="E55">
        <v>28.2</v>
      </c>
      <c r="F55">
        <v>47988</v>
      </c>
      <c r="G55" s="3">
        <f t="shared" si="1"/>
        <v>1</v>
      </c>
      <c r="H55">
        <v>1</v>
      </c>
    </row>
    <row r="56" spans="1:8">
      <c r="A56" s="1" t="s">
        <v>146</v>
      </c>
      <c r="B56" t="s">
        <v>147</v>
      </c>
      <c r="C56" t="s">
        <v>148</v>
      </c>
      <c r="D56" t="s">
        <v>60</v>
      </c>
      <c r="E56">
        <v>12.3</v>
      </c>
      <c r="F56">
        <v>47988</v>
      </c>
      <c r="G56" s="3">
        <f t="shared" si="1"/>
        <v>1</v>
      </c>
      <c r="H56">
        <v>2</v>
      </c>
    </row>
    <row r="57" spans="1:8">
      <c r="A57" s="1" t="s">
        <v>149</v>
      </c>
      <c r="B57" t="s">
        <v>58</v>
      </c>
      <c r="C57" t="s">
        <v>150</v>
      </c>
      <c r="D57" t="s">
        <v>60</v>
      </c>
      <c r="F57">
        <v>47988</v>
      </c>
      <c r="G57" s="3">
        <f t="shared" si="1"/>
        <v>1</v>
      </c>
      <c r="H57">
        <v>5</v>
      </c>
    </row>
    <row r="58" spans="1:8">
      <c r="A58" s="1" t="s">
        <v>151</v>
      </c>
      <c r="B58" t="s">
        <v>152</v>
      </c>
      <c r="C58" t="s">
        <v>153</v>
      </c>
      <c r="D58" t="s">
        <v>60</v>
      </c>
      <c r="F58">
        <v>47988</v>
      </c>
      <c r="G58" s="3">
        <f t="shared" si="1"/>
        <v>1</v>
      </c>
      <c r="H58">
        <v>1</v>
      </c>
    </row>
    <row r="59" spans="1:8">
      <c r="A59" s="4" t="s">
        <v>154</v>
      </c>
      <c r="B59" t="s">
        <v>13</v>
      </c>
      <c r="C59" t="s">
        <v>155</v>
      </c>
      <c r="D59" t="s">
        <v>60</v>
      </c>
      <c r="F59">
        <v>47988</v>
      </c>
      <c r="G59" s="3">
        <f t="shared" si="1"/>
        <v>1</v>
      </c>
    </row>
    <row r="60" spans="1:8">
      <c r="A60" s="1" t="s">
        <v>156</v>
      </c>
      <c r="B60" t="s">
        <v>157</v>
      </c>
      <c r="C60" t="s">
        <v>158</v>
      </c>
      <c r="D60" t="s">
        <v>60</v>
      </c>
      <c r="F60">
        <v>12949</v>
      </c>
      <c r="G60" s="3">
        <f t="shared" si="1"/>
        <v>0.26983829290656</v>
      </c>
    </row>
    <row r="61" spans="1:8">
      <c r="A61" s="1" t="s">
        <v>159</v>
      </c>
      <c r="B61" t="s">
        <v>13</v>
      </c>
      <c r="C61" t="s">
        <v>160</v>
      </c>
      <c r="D61" t="s">
        <v>60</v>
      </c>
      <c r="F61">
        <v>47988</v>
      </c>
      <c r="G61" s="3">
        <f t="shared" si="1"/>
        <v>1</v>
      </c>
      <c r="H61">
        <v>3</v>
      </c>
    </row>
    <row r="62" spans="1:8">
      <c r="A62" s="4" t="s">
        <v>161</v>
      </c>
      <c r="B62" t="s">
        <v>162</v>
      </c>
      <c r="C62" t="s">
        <v>163</v>
      </c>
      <c r="D62" t="s">
        <v>60</v>
      </c>
      <c r="F62">
        <v>47988</v>
      </c>
      <c r="G62" s="3">
        <f t="shared" si="1"/>
        <v>1</v>
      </c>
      <c r="H62">
        <v>3</v>
      </c>
    </row>
    <row r="63" spans="1:8">
      <c r="A63" s="4" t="s">
        <v>164</v>
      </c>
      <c r="B63" t="s">
        <v>13</v>
      </c>
      <c r="C63" t="s">
        <v>165</v>
      </c>
      <c r="D63" t="s">
        <v>60</v>
      </c>
      <c r="F63">
        <v>47988</v>
      </c>
      <c r="G63" s="3">
        <f t="shared" si="1"/>
        <v>1</v>
      </c>
      <c r="H63">
        <v>3</v>
      </c>
    </row>
    <row r="64" spans="1:8">
      <c r="A64" s="4" t="s">
        <v>166</v>
      </c>
      <c r="B64" t="s">
        <v>13</v>
      </c>
      <c r="C64" t="s">
        <v>167</v>
      </c>
      <c r="D64" t="s">
        <v>60</v>
      </c>
      <c r="F64">
        <v>47988</v>
      </c>
      <c r="G64" s="3">
        <f t="shared" si="1"/>
        <v>1</v>
      </c>
      <c r="H64">
        <v>3</v>
      </c>
    </row>
    <row r="65" spans="1:8">
      <c r="A65" s="4" t="s">
        <v>168</v>
      </c>
      <c r="B65" t="s">
        <v>13</v>
      </c>
      <c r="C65" t="s">
        <v>169</v>
      </c>
      <c r="D65" t="s">
        <v>60</v>
      </c>
      <c r="F65">
        <v>47988</v>
      </c>
      <c r="G65" s="3">
        <f t="shared" si="1"/>
        <v>1</v>
      </c>
      <c r="H65">
        <v>3</v>
      </c>
    </row>
    <row r="66" spans="1:8">
      <c r="A66" s="4" t="s">
        <v>170</v>
      </c>
      <c r="B66" t="s">
        <v>13</v>
      </c>
      <c r="C66" t="s">
        <v>171</v>
      </c>
      <c r="D66" t="s">
        <v>60</v>
      </c>
      <c r="F66">
        <v>47988</v>
      </c>
      <c r="G66" s="3">
        <f t="shared" si="1"/>
        <v>1</v>
      </c>
      <c r="H66">
        <v>3</v>
      </c>
    </row>
    <row r="67" spans="1:8">
      <c r="A67" s="4" t="s">
        <v>172</v>
      </c>
      <c r="B67" t="s">
        <v>13</v>
      </c>
      <c r="C67" t="s">
        <v>173</v>
      </c>
      <c r="D67" t="s">
        <v>60</v>
      </c>
      <c r="F67">
        <v>47988</v>
      </c>
      <c r="G67" s="3">
        <f t="shared" si="1"/>
        <v>1</v>
      </c>
      <c r="H67">
        <v>3</v>
      </c>
    </row>
    <row r="68" spans="1:8">
      <c r="A68" s="4" t="s">
        <v>174</v>
      </c>
      <c r="B68" t="s">
        <v>13</v>
      </c>
      <c r="C68" t="s">
        <v>175</v>
      </c>
      <c r="D68" t="s">
        <v>60</v>
      </c>
      <c r="F68">
        <v>47988</v>
      </c>
      <c r="G68" s="3">
        <f t="shared" ref="G68:G107" si="2">F68/F$2</f>
        <v>1</v>
      </c>
      <c r="H68">
        <v>3</v>
      </c>
    </row>
    <row r="69" spans="1:8">
      <c r="A69" s="1" t="s">
        <v>176</v>
      </c>
      <c r="B69" t="s">
        <v>177</v>
      </c>
      <c r="C69" t="s">
        <v>178</v>
      </c>
      <c r="D69" t="s">
        <v>60</v>
      </c>
      <c r="F69">
        <v>12456</v>
      </c>
      <c r="G69" s="3">
        <f t="shared" si="2"/>
        <v>0.259564891222806</v>
      </c>
    </row>
    <row r="70" spans="1:8">
      <c r="A70" s="4" t="s">
        <v>179</v>
      </c>
      <c r="B70" t="s">
        <v>13</v>
      </c>
      <c r="C70" t="s">
        <v>180</v>
      </c>
      <c r="D70" t="s">
        <v>60</v>
      </c>
      <c r="F70">
        <v>47988</v>
      </c>
      <c r="G70" s="3">
        <f t="shared" si="2"/>
        <v>1</v>
      </c>
      <c r="H70">
        <v>3</v>
      </c>
    </row>
    <row r="71" spans="1:8">
      <c r="A71" s="1" t="s">
        <v>181</v>
      </c>
      <c r="B71" t="s">
        <v>182</v>
      </c>
      <c r="C71" t="s">
        <v>183</v>
      </c>
      <c r="D71" t="s">
        <v>60</v>
      </c>
      <c r="F71">
        <v>9542</v>
      </c>
      <c r="G71" s="3">
        <f t="shared" si="2"/>
        <v>0.198841377010919</v>
      </c>
    </row>
    <row r="72" spans="1:8">
      <c r="A72" s="4" t="s">
        <v>184</v>
      </c>
      <c r="B72" t="s">
        <v>13</v>
      </c>
      <c r="C72" t="s">
        <v>185</v>
      </c>
      <c r="D72" t="s">
        <v>60</v>
      </c>
      <c r="F72">
        <v>47988</v>
      </c>
      <c r="G72" s="3">
        <f t="shared" si="2"/>
        <v>1</v>
      </c>
      <c r="H72">
        <v>3</v>
      </c>
    </row>
    <row r="73" spans="1:8">
      <c r="A73" s="4" t="s">
        <v>186</v>
      </c>
      <c r="B73" t="s">
        <v>13</v>
      </c>
      <c r="C73" t="s">
        <v>187</v>
      </c>
      <c r="D73" t="s">
        <v>60</v>
      </c>
      <c r="F73">
        <v>47988</v>
      </c>
      <c r="G73" s="3">
        <f t="shared" si="2"/>
        <v>1</v>
      </c>
      <c r="H73">
        <v>3</v>
      </c>
    </row>
    <row r="74" spans="1:8">
      <c r="A74" s="4" t="s">
        <v>188</v>
      </c>
      <c r="B74" t="s">
        <v>13</v>
      </c>
      <c r="C74" t="s">
        <v>189</v>
      </c>
      <c r="D74" t="s">
        <v>60</v>
      </c>
      <c r="F74">
        <v>47988</v>
      </c>
      <c r="G74" s="3">
        <f t="shared" si="2"/>
        <v>1</v>
      </c>
      <c r="H74">
        <v>3</v>
      </c>
    </row>
    <row r="75" spans="1:8">
      <c r="A75" s="1" t="s">
        <v>190</v>
      </c>
      <c r="B75" t="s">
        <v>191</v>
      </c>
      <c r="C75" t="s">
        <v>192</v>
      </c>
      <c r="D75" t="s">
        <v>60</v>
      </c>
      <c r="F75">
        <v>47988</v>
      </c>
      <c r="G75" s="3">
        <f t="shared" si="2"/>
        <v>1</v>
      </c>
      <c r="H75">
        <v>2</v>
      </c>
    </row>
    <row r="76" spans="1:8">
      <c r="A76" s="4" t="s">
        <v>193</v>
      </c>
      <c r="B76" t="s">
        <v>13</v>
      </c>
      <c r="C76" t="s">
        <v>194</v>
      </c>
      <c r="D76" t="s">
        <v>60</v>
      </c>
      <c r="F76">
        <v>47988</v>
      </c>
      <c r="G76" s="3">
        <f t="shared" si="2"/>
        <v>1</v>
      </c>
      <c r="H76">
        <v>3</v>
      </c>
    </row>
    <row r="77" spans="1:8">
      <c r="A77" s="4" t="s">
        <v>195</v>
      </c>
      <c r="B77" t="s">
        <v>13</v>
      </c>
      <c r="C77" t="s">
        <v>196</v>
      </c>
      <c r="D77" t="s">
        <v>60</v>
      </c>
      <c r="F77">
        <v>47988</v>
      </c>
      <c r="G77" s="3">
        <f t="shared" si="2"/>
        <v>1</v>
      </c>
      <c r="H77">
        <v>3</v>
      </c>
    </row>
    <row r="78" spans="1:8">
      <c r="A78" s="4" t="s">
        <v>197</v>
      </c>
      <c r="B78" t="s">
        <v>13</v>
      </c>
      <c r="C78" t="s">
        <v>198</v>
      </c>
      <c r="D78" t="s">
        <v>60</v>
      </c>
      <c r="F78">
        <v>47988</v>
      </c>
      <c r="G78" s="3">
        <f t="shared" si="2"/>
        <v>1</v>
      </c>
      <c r="H78">
        <v>3</v>
      </c>
    </row>
    <row r="79" spans="1:8">
      <c r="A79" s="4" t="s">
        <v>199</v>
      </c>
      <c r="B79" t="s">
        <v>13</v>
      </c>
      <c r="C79" t="s">
        <v>200</v>
      </c>
      <c r="D79" t="s">
        <v>60</v>
      </c>
      <c r="F79" s="1">
        <v>47988</v>
      </c>
      <c r="G79" s="3">
        <f t="shared" si="2"/>
        <v>1</v>
      </c>
      <c r="H79">
        <v>3</v>
      </c>
    </row>
    <row r="80" spans="1:8">
      <c r="A80" s="1" t="s">
        <v>9</v>
      </c>
      <c r="B80" t="s">
        <v>201</v>
      </c>
      <c r="C80" t="s">
        <v>202</v>
      </c>
      <c r="D80" t="s">
        <v>60</v>
      </c>
      <c r="F80">
        <v>47988</v>
      </c>
      <c r="G80" s="3">
        <f t="shared" si="2"/>
        <v>1</v>
      </c>
      <c r="H80">
        <v>2</v>
      </c>
    </row>
    <row r="81" spans="1:8">
      <c r="A81" s="4" t="s">
        <v>203</v>
      </c>
      <c r="B81" t="s">
        <v>13</v>
      </c>
      <c r="C81" t="s">
        <v>204</v>
      </c>
      <c r="D81" t="s">
        <v>60</v>
      </c>
      <c r="F81" s="1">
        <v>47988</v>
      </c>
      <c r="G81" s="3">
        <f t="shared" si="2"/>
        <v>1</v>
      </c>
      <c r="H81">
        <v>3</v>
      </c>
    </row>
    <row r="82" spans="1:8">
      <c r="A82" s="4" t="s">
        <v>205</v>
      </c>
      <c r="B82" t="s">
        <v>13</v>
      </c>
      <c r="C82" t="s">
        <v>206</v>
      </c>
      <c r="D82" t="s">
        <v>60</v>
      </c>
      <c r="F82" s="1">
        <v>47988</v>
      </c>
      <c r="G82" s="3">
        <f t="shared" si="2"/>
        <v>1</v>
      </c>
      <c r="H82">
        <v>3</v>
      </c>
    </row>
    <row r="83" spans="1:8">
      <c r="A83" s="4" t="s">
        <v>207</v>
      </c>
      <c r="B83" t="s">
        <v>13</v>
      </c>
      <c r="C83" t="s">
        <v>208</v>
      </c>
      <c r="D83" t="s">
        <v>60</v>
      </c>
      <c r="F83" s="1">
        <v>47988</v>
      </c>
      <c r="G83" s="3">
        <f t="shared" si="2"/>
        <v>1</v>
      </c>
      <c r="H83">
        <v>3</v>
      </c>
    </row>
    <row r="84" spans="1:8">
      <c r="A84" s="4" t="s">
        <v>209</v>
      </c>
      <c r="B84" t="s">
        <v>13</v>
      </c>
      <c r="C84" t="s">
        <v>210</v>
      </c>
      <c r="D84" t="s">
        <v>60</v>
      </c>
      <c r="F84" s="1">
        <v>47988</v>
      </c>
      <c r="G84" s="3">
        <f t="shared" si="2"/>
        <v>1</v>
      </c>
      <c r="H84">
        <v>3</v>
      </c>
    </row>
    <row r="85" spans="1:8">
      <c r="A85" s="4" t="s">
        <v>211</v>
      </c>
      <c r="B85" t="s">
        <v>13</v>
      </c>
      <c r="C85" t="s">
        <v>212</v>
      </c>
      <c r="D85" t="s">
        <v>60</v>
      </c>
      <c r="F85" s="1">
        <v>47988</v>
      </c>
      <c r="G85" s="3">
        <f t="shared" si="2"/>
        <v>1</v>
      </c>
      <c r="H85">
        <v>3</v>
      </c>
    </row>
    <row r="86" spans="1:8">
      <c r="A86" s="4" t="s">
        <v>213</v>
      </c>
      <c r="B86" t="s">
        <v>214</v>
      </c>
      <c r="C86" t="s">
        <v>215</v>
      </c>
      <c r="D86" t="s">
        <v>60</v>
      </c>
      <c r="F86">
        <v>47988</v>
      </c>
      <c r="G86" s="3">
        <f t="shared" si="2"/>
        <v>1</v>
      </c>
      <c r="H86">
        <v>1</v>
      </c>
    </row>
    <row r="87" spans="1:8">
      <c r="A87" s="4" t="s">
        <v>216</v>
      </c>
      <c r="B87" t="s">
        <v>13</v>
      </c>
      <c r="C87" t="s">
        <v>217</v>
      </c>
      <c r="D87" t="s">
        <v>60</v>
      </c>
      <c r="F87">
        <v>47988</v>
      </c>
      <c r="G87" s="3">
        <f t="shared" si="2"/>
        <v>1</v>
      </c>
      <c r="H87">
        <v>3</v>
      </c>
    </row>
    <row r="88" spans="1:8">
      <c r="A88" s="1" t="s">
        <v>218</v>
      </c>
      <c r="B88" t="s">
        <v>58</v>
      </c>
      <c r="C88" t="s">
        <v>219</v>
      </c>
      <c r="D88" t="s">
        <v>60</v>
      </c>
      <c r="F88">
        <v>8023</v>
      </c>
      <c r="G88" s="3">
        <f t="shared" si="2"/>
        <v>0.167187630240894</v>
      </c>
    </row>
    <row r="89" spans="1:8">
      <c r="A89" s="4" t="s">
        <v>220</v>
      </c>
      <c r="B89" t="s">
        <v>13</v>
      </c>
      <c r="C89" t="s">
        <v>221</v>
      </c>
      <c r="D89" t="s">
        <v>60</v>
      </c>
      <c r="F89">
        <v>47988</v>
      </c>
      <c r="G89" s="3">
        <f t="shared" si="2"/>
        <v>1</v>
      </c>
      <c r="H89">
        <v>3</v>
      </c>
    </row>
    <row r="90" spans="1:8">
      <c r="A90" s="4" t="s">
        <v>222</v>
      </c>
      <c r="B90" t="s">
        <v>13</v>
      </c>
      <c r="C90" t="s">
        <v>223</v>
      </c>
      <c r="D90" t="s">
        <v>60</v>
      </c>
      <c r="F90">
        <v>47988</v>
      </c>
      <c r="G90" s="3">
        <f t="shared" si="2"/>
        <v>1</v>
      </c>
      <c r="H90">
        <v>3</v>
      </c>
    </row>
    <row r="91" spans="1:8">
      <c r="A91" s="4" t="s">
        <v>224</v>
      </c>
      <c r="B91" t="s">
        <v>13</v>
      </c>
      <c r="C91" t="s">
        <v>225</v>
      </c>
      <c r="D91" t="s">
        <v>60</v>
      </c>
      <c r="F91">
        <v>47988</v>
      </c>
      <c r="G91" s="3">
        <f t="shared" si="2"/>
        <v>1</v>
      </c>
      <c r="H91">
        <v>3</v>
      </c>
    </row>
    <row r="92" spans="1:8">
      <c r="A92" s="1" t="s">
        <v>226</v>
      </c>
      <c r="B92" t="s">
        <v>58</v>
      </c>
      <c r="C92" t="s">
        <v>227</v>
      </c>
      <c r="D92" t="s">
        <v>60</v>
      </c>
      <c r="F92">
        <v>8851</v>
      </c>
      <c r="G92" s="3">
        <f t="shared" si="2"/>
        <v>0.184441943819288</v>
      </c>
    </row>
    <row r="93" spans="1:8">
      <c r="A93" s="4" t="s">
        <v>228</v>
      </c>
      <c r="B93" t="s">
        <v>229</v>
      </c>
      <c r="C93" t="s">
        <v>230</v>
      </c>
      <c r="D93" t="s">
        <v>60</v>
      </c>
      <c r="F93">
        <v>47988</v>
      </c>
      <c r="G93" s="3">
        <f t="shared" si="2"/>
        <v>1</v>
      </c>
      <c r="H93">
        <v>2</v>
      </c>
    </row>
    <row r="94" spans="1:8">
      <c r="A94" s="4" t="s">
        <v>231</v>
      </c>
      <c r="B94" t="s">
        <v>13</v>
      </c>
      <c r="C94" t="s">
        <v>232</v>
      </c>
      <c r="D94" t="s">
        <v>60</v>
      </c>
      <c r="F94">
        <v>47988</v>
      </c>
      <c r="G94" s="3">
        <f t="shared" si="2"/>
        <v>1</v>
      </c>
      <c r="H94">
        <v>3</v>
      </c>
    </row>
    <row r="95" spans="1:8">
      <c r="A95" s="1" t="s">
        <v>233</v>
      </c>
      <c r="B95" t="s">
        <v>234</v>
      </c>
      <c r="C95" t="s">
        <v>235</v>
      </c>
      <c r="D95" t="s">
        <v>60</v>
      </c>
      <c r="F95">
        <v>40143</v>
      </c>
      <c r="G95" s="3">
        <f t="shared" si="2"/>
        <v>0.836521630407602</v>
      </c>
      <c r="H95">
        <v>4</v>
      </c>
    </row>
    <row r="96" spans="1:8">
      <c r="A96" s="1" t="s">
        <v>236</v>
      </c>
      <c r="B96" t="s">
        <v>58</v>
      </c>
      <c r="C96" t="s">
        <v>237</v>
      </c>
      <c r="D96" t="s">
        <v>60</v>
      </c>
      <c r="F96">
        <v>7459</v>
      </c>
      <c r="G96" s="3">
        <f t="shared" si="2"/>
        <v>0.155434692006335</v>
      </c>
    </row>
    <row r="97" spans="1:17">
      <c r="A97" s="1" t="s">
        <v>238</v>
      </c>
      <c r="B97" t="s">
        <v>58</v>
      </c>
      <c r="C97" t="s">
        <v>239</v>
      </c>
      <c r="D97" t="s">
        <v>60</v>
      </c>
      <c r="F97">
        <v>13399</v>
      </c>
      <c r="G97" s="3">
        <f t="shared" si="2"/>
        <v>0.279215637242644</v>
      </c>
    </row>
    <row r="98" spans="1:17">
      <c r="A98" s="4" t="s">
        <v>240</v>
      </c>
      <c r="B98" t="s">
        <v>13</v>
      </c>
      <c r="C98" t="s">
        <v>241</v>
      </c>
      <c r="D98" t="s">
        <v>60</v>
      </c>
      <c r="F98">
        <v>47988</v>
      </c>
      <c r="G98" s="3">
        <f t="shared" si="2"/>
        <v>1</v>
      </c>
      <c r="H98">
        <v>3</v>
      </c>
    </row>
    <row r="99" spans="1:17">
      <c r="A99" s="4" t="s">
        <v>242</v>
      </c>
      <c r="B99" t="s">
        <v>13</v>
      </c>
      <c r="C99" t="s">
        <v>243</v>
      </c>
      <c r="D99" t="s">
        <v>60</v>
      </c>
      <c r="F99">
        <v>47988</v>
      </c>
      <c r="G99" s="3">
        <f t="shared" si="2"/>
        <v>1</v>
      </c>
      <c r="H99">
        <v>3</v>
      </c>
    </row>
    <row r="100" spans="1:17">
      <c r="A100" s="4" t="s">
        <v>244</v>
      </c>
      <c r="B100" t="s">
        <v>13</v>
      </c>
      <c r="C100" t="s">
        <v>245</v>
      </c>
      <c r="D100" t="s">
        <v>60</v>
      </c>
      <c r="F100">
        <v>47988</v>
      </c>
      <c r="G100" s="3">
        <f t="shared" si="2"/>
        <v>1</v>
      </c>
      <c r="H100">
        <v>3</v>
      </c>
    </row>
    <row r="101" spans="1:17">
      <c r="A101" s="4" t="s">
        <v>246</v>
      </c>
      <c r="B101" t="s">
        <v>13</v>
      </c>
      <c r="C101" t="s">
        <v>247</v>
      </c>
      <c r="D101" t="s">
        <v>60</v>
      </c>
      <c r="F101">
        <v>47988</v>
      </c>
      <c r="G101" s="3">
        <f t="shared" si="2"/>
        <v>1</v>
      </c>
      <c r="H101">
        <v>3</v>
      </c>
    </row>
    <row r="102" spans="1:17">
      <c r="A102" s="1" t="s">
        <v>248</v>
      </c>
      <c r="B102" t="s">
        <v>249</v>
      </c>
      <c r="C102" t="s">
        <v>250</v>
      </c>
      <c r="D102" t="s">
        <v>60</v>
      </c>
      <c r="F102">
        <v>47988</v>
      </c>
      <c r="G102" s="3">
        <f t="shared" si="2"/>
        <v>1</v>
      </c>
      <c r="H102">
        <v>2</v>
      </c>
    </row>
    <row r="103" spans="1:17">
      <c r="A103" s="4" t="s">
        <v>251</v>
      </c>
      <c r="B103" t="s">
        <v>13</v>
      </c>
      <c r="C103" t="s">
        <v>252</v>
      </c>
      <c r="D103" t="s">
        <v>60</v>
      </c>
      <c r="F103">
        <v>47988</v>
      </c>
      <c r="G103" s="3">
        <f t="shared" si="2"/>
        <v>1</v>
      </c>
      <c r="H103">
        <v>3</v>
      </c>
    </row>
    <row r="104" spans="1:17">
      <c r="A104" s="1" t="s">
        <v>253</v>
      </c>
      <c r="B104" t="s">
        <v>254</v>
      </c>
      <c r="C104" t="s">
        <v>255</v>
      </c>
      <c r="D104" t="s">
        <v>60</v>
      </c>
      <c r="F104">
        <v>9574</v>
      </c>
      <c r="G104" s="3">
        <f t="shared" si="2"/>
        <v>0.19950821038593</v>
      </c>
    </row>
    <row r="105" spans="1:17">
      <c r="A105" s="1" t="s">
        <v>256</v>
      </c>
      <c r="B105" t="s">
        <v>257</v>
      </c>
      <c r="C105" t="s">
        <v>258</v>
      </c>
      <c r="D105" t="s">
        <v>60</v>
      </c>
      <c r="F105">
        <v>6227</v>
      </c>
      <c r="G105" s="3">
        <f t="shared" si="2"/>
        <v>0.129761607068434</v>
      </c>
    </row>
    <row r="106" spans="1:17">
      <c r="A106" s="1" t="s">
        <v>259</v>
      </c>
      <c r="B106" t="s">
        <v>260</v>
      </c>
      <c r="C106" t="s">
        <v>261</v>
      </c>
      <c r="D106" t="s">
        <v>60</v>
      </c>
      <c r="F106">
        <v>6910</v>
      </c>
      <c r="G106" s="3">
        <f t="shared" si="2"/>
        <v>0.143994331916312</v>
      </c>
    </row>
    <row r="107" spans="1:17">
      <c r="A107" s="4" t="s">
        <v>262</v>
      </c>
      <c r="B107" t="s">
        <v>13</v>
      </c>
      <c r="C107" t="s">
        <v>263</v>
      </c>
      <c r="D107" t="s">
        <v>60</v>
      </c>
      <c r="F107">
        <v>47988</v>
      </c>
      <c r="G107" s="3">
        <f t="shared" si="2"/>
        <v>1</v>
      </c>
      <c r="H107">
        <v>3</v>
      </c>
    </row>
    <row r="108" spans="1:17">
      <c r="F108">
        <f>SUM(F3:F107)</f>
        <v>3989728</v>
      </c>
      <c r="K108">
        <f>SUM(K3:K107)</f>
        <v>375015</v>
      </c>
      <c r="Q108">
        <f>SUM(F108:P108)</f>
        <v>4364743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謝永暉</cp:lastModifiedBy>
  <dcterms:created xsi:type="dcterms:W3CDTF">2025-11-06T12:56:00Z</dcterms:created>
  <dcterms:modified xsi:type="dcterms:W3CDTF">2025-11-18T02:34:27Z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BDE6CCEF51904242BA05B26C80CE45E1_13</vt:lpwstr>
  </property>
  <property fmtid="{D5CDD505-2E9C-101B-9397-08002B2CF9AE}" pid="3" name="KSOProductBuildVer">
    <vt:lpwstr>2052-12.1.0.23542</vt:lpwstr>
  </property>
</Properties>
</file>